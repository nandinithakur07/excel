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i\Desktop\"/>
    </mc:Choice>
  </mc:AlternateContent>
  <xr:revisionPtr revIDLastSave="0" documentId="8_{35471E62-5846-4D4B-874C-118BA6E80F21}" xr6:coauthVersionLast="47" xr6:coauthVersionMax="47" xr10:uidLastSave="{00000000-0000-0000-0000-000000000000}"/>
  <bookViews>
    <workbookView xWindow="-98" yWindow="-98" windowWidth="19396" windowHeight="11475" xr2:uid="{93412EEC-E01F-41E1-8FF7-71C15A2893AC}"/>
  </bookViews>
  <sheets>
    <sheet name="Sheet1" sheetId="1" r:id="rId1"/>
  </sheets>
  <definedNames>
    <definedName name="_xlnm._FilterDatabase" localSheetId="0" hidden="1">Sheet1!$L$4:$L$34</definedName>
    <definedName name="_xlchart.v1.0" hidden="1">Sheet1!$J$4</definedName>
    <definedName name="_xlchart.v1.1" hidden="1">Sheet1!$J$5:$J$34</definedName>
    <definedName name="_xlchart.v1.2" hidden="1">Sheet1!$J$4</definedName>
    <definedName name="_xlchart.v1.3" hidden="1">Sheet1!$J$5:$J$34</definedName>
    <definedName name="_xlchart.v1.4" hidden="1">Sheet1!$A$5:$L$34</definedName>
    <definedName name="_xlchart.v1.5" hidden="1">Sheet1!$M$1:$M$4</definedName>
    <definedName name="_xlchart.v1.6" hidden="1">Sheet1!$M$5:$M$34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6" i="1" l="1"/>
  <c r="C114" i="1"/>
  <c r="C113" i="1"/>
  <c r="C112" i="1"/>
  <c r="B107" i="1"/>
  <c r="C103" i="1"/>
  <c r="C102" i="1"/>
  <c r="C101" i="1"/>
  <c r="C100" i="1"/>
  <c r="C94" i="1"/>
  <c r="C95" i="1"/>
  <c r="C93" i="1"/>
  <c r="C92" i="1"/>
  <c r="C87" i="1"/>
  <c r="C86" i="1"/>
  <c r="C85" i="1"/>
  <c r="C84" i="1"/>
  <c r="C83" i="1"/>
  <c r="C57" i="1"/>
  <c r="C56" i="1"/>
  <c r="C51" i="1"/>
  <c r="C52" i="1"/>
  <c r="C50" i="1"/>
  <c r="C49" i="1"/>
  <c r="B45" i="1"/>
  <c r="C45" i="1"/>
  <c r="C39" i="1"/>
  <c r="B39" i="1"/>
</calcChain>
</file>

<file path=xl/sharedStrings.xml><?xml version="1.0" encoding="utf-8"?>
<sst xmlns="http://schemas.openxmlformats.org/spreadsheetml/2006/main" count="227" uniqueCount="81">
  <si>
    <t>Student ID</t>
  </si>
  <si>
    <t>Name</t>
  </si>
  <si>
    <t>Gender</t>
  </si>
  <si>
    <t>Class</t>
  </si>
  <si>
    <t>English</t>
  </si>
  <si>
    <t>Maths</t>
  </si>
  <si>
    <t>Science</t>
  </si>
  <si>
    <t>Computer</t>
  </si>
  <si>
    <t>Total</t>
  </si>
  <si>
    <t>Percentage</t>
  </si>
  <si>
    <t>Grade</t>
  </si>
  <si>
    <t>Result</t>
  </si>
  <si>
    <t>Attendance</t>
  </si>
  <si>
    <t>Aarav Sharma</t>
  </si>
  <si>
    <t>M</t>
  </si>
  <si>
    <t>12A</t>
  </si>
  <si>
    <t>A</t>
  </si>
  <si>
    <t>Pass</t>
  </si>
  <si>
    <t>Anika Verma</t>
  </si>
  <si>
    <t>F</t>
  </si>
  <si>
    <t>B</t>
  </si>
  <si>
    <t>Rohan Gupta</t>
  </si>
  <si>
    <t>C</t>
  </si>
  <si>
    <t>Priya Singh</t>
  </si>
  <si>
    <t>Kabir Khan</t>
  </si>
  <si>
    <t>12B</t>
  </si>
  <si>
    <t>D</t>
  </si>
  <si>
    <t>Meera Patel</t>
  </si>
  <si>
    <t>Arjun Reddy</t>
  </si>
  <si>
    <t>Kavya Nair</t>
  </si>
  <si>
    <t>12C</t>
  </si>
  <si>
    <t>Aditya Mehta</t>
  </si>
  <si>
    <t>Sanya Joshi</t>
  </si>
  <si>
    <t>Vihaan Malhotra</t>
  </si>
  <si>
    <t>Ishita Choudhary</t>
  </si>
  <si>
    <t>Yash Khanna</t>
  </si>
  <si>
    <t>Nisha Desai</t>
  </si>
  <si>
    <t>Fail</t>
  </si>
  <si>
    <t>Arnav Kapoor</t>
  </si>
  <si>
    <t>Riya Bansal</t>
  </si>
  <si>
    <t>Devansh Iyer</t>
  </si>
  <si>
    <t>Ananya Sharma</t>
  </si>
  <si>
    <t>Hrithik Sinha</t>
  </si>
  <si>
    <t>Tanvi Agarwal</t>
  </si>
  <si>
    <t>Armaan Joshi</t>
  </si>
  <si>
    <t>Shreya Rathi</t>
  </si>
  <si>
    <t>Kunal Mehra</t>
  </si>
  <si>
    <t>Pooja Nair</t>
  </si>
  <si>
    <t>Raghav Malhotra</t>
  </si>
  <si>
    <t>Sneha Gupta</t>
  </si>
  <si>
    <t>Vihaan Kapoor</t>
  </si>
  <si>
    <t>Diya Sharma</t>
  </si>
  <si>
    <t>Aarav Joshi</t>
  </si>
  <si>
    <t>Anika Mehta</t>
  </si>
  <si>
    <t>ASHA MODERN INTERNATIONAL SCHOOL</t>
  </si>
  <si>
    <t>Student Result</t>
  </si>
  <si>
    <t xml:space="preserve">Highest Total Marks </t>
  </si>
  <si>
    <t>Lowest Percentage</t>
  </si>
  <si>
    <t>Subject-wise Average</t>
  </si>
  <si>
    <t>Pass / Fail Count</t>
  </si>
  <si>
    <t>Subject</t>
  </si>
  <si>
    <t>%</t>
  </si>
  <si>
    <t>Students &gt;90%</t>
  </si>
  <si>
    <t>Weak Students (&lt;50%)</t>
  </si>
  <si>
    <t>Attendance &lt;75%</t>
  </si>
  <si>
    <t>Grade Count</t>
  </si>
  <si>
    <t xml:space="preserve">Grade </t>
  </si>
  <si>
    <t>Count</t>
  </si>
  <si>
    <t>Highest Subject Marks</t>
  </si>
  <si>
    <t>Max</t>
  </si>
  <si>
    <t>Lowest Subject Marks</t>
  </si>
  <si>
    <t>Min</t>
  </si>
  <si>
    <t>Class Average %</t>
  </si>
  <si>
    <t>FINAL SUMMARY REPORT</t>
  </si>
  <si>
    <t>Metric</t>
  </si>
  <si>
    <t>Value</t>
  </si>
  <si>
    <t>Total Students</t>
  </si>
  <si>
    <t>Pass %</t>
  </si>
  <si>
    <t>Fail %</t>
  </si>
  <si>
    <t>Avg Total Marks</t>
  </si>
  <si>
    <t>Avg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</si>
</sst>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5" borderId="0" xfId="0" applyFont="1" applyFill="1" applyBorder="1" applyAlignment="1"/>
    <xf numFmtId="0" fontId="0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/>
    </xf>
    <xf numFmtId="0" fontId="0" fillId="4" borderId="1" xfId="0" applyFill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FE78-36F6-4774-8659-917FED3CC486}">
  <dimension ref="A1:N116"/>
  <sheetViews>
    <sheetView tabSelected="1" zoomScale="48" zoomScaleNormal="60" workbookViewId="0">
      <selection activeCell="V4" sqref="V4"/>
    </sheetView>
  </sheetViews>
  <sheetFormatPr defaultRowHeight="14.25" x14ac:dyDescent="0.45"/>
  <cols>
    <col min="1" max="1" width="9.6640625" bestFit="1" customWidth="1"/>
    <col min="2" max="2" width="14.73046875" bestFit="1" customWidth="1"/>
    <col min="3" max="3" width="10.33203125" bestFit="1" customWidth="1"/>
    <col min="4" max="4" width="5" bestFit="1" customWidth="1"/>
    <col min="5" max="5" width="6.73046875" bestFit="1" customWidth="1"/>
    <col min="6" max="6" width="6.19921875" bestFit="1" customWidth="1"/>
    <col min="7" max="7" width="7.19921875" bestFit="1" customWidth="1"/>
    <col min="8" max="8" width="9.265625" bestFit="1" customWidth="1"/>
    <col min="9" max="9" width="5.06640625" customWidth="1"/>
    <col min="10" max="10" width="10.19921875" bestFit="1" customWidth="1"/>
    <col min="11" max="11" width="5.86328125" bestFit="1" customWidth="1"/>
    <col min="12" max="12" width="6" bestFit="1" customWidth="1"/>
    <col min="13" max="13" width="10.53125" bestFit="1" customWidth="1"/>
    <col min="14" max="14" width="9.06640625" customWidth="1"/>
  </cols>
  <sheetData>
    <row r="1" spans="1:14" ht="14.25" customHeight="1" x14ac:dyDescent="0.45">
      <c r="A1" s="8" t="s">
        <v>54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</row>
    <row r="2" spans="1:14" x14ac:dyDescent="0.45">
      <c r="A2" s="1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2"/>
    </row>
    <row r="3" spans="1:14" x14ac:dyDescent="0.45">
      <c r="A3" s="13" t="s">
        <v>55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14"/>
    </row>
    <row r="4" spans="1:14" ht="28.9" customHeight="1" x14ac:dyDescent="0.45">
      <c r="A4" s="15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16" t="s">
        <v>12</v>
      </c>
      <c r="N4" s="24"/>
    </row>
    <row r="5" spans="1:14" x14ac:dyDescent="0.45">
      <c r="A5" s="17">
        <v>109</v>
      </c>
      <c r="B5" s="5" t="s">
        <v>31</v>
      </c>
      <c r="C5" s="2" t="s">
        <v>14</v>
      </c>
      <c r="D5" s="2" t="s">
        <v>30</v>
      </c>
      <c r="E5" s="2">
        <v>95</v>
      </c>
      <c r="F5" s="2">
        <v>92</v>
      </c>
      <c r="G5" s="2">
        <v>90</v>
      </c>
      <c r="H5" s="2">
        <v>96</v>
      </c>
      <c r="I5" s="2">
        <v>373</v>
      </c>
      <c r="J5" s="2">
        <v>93.25</v>
      </c>
      <c r="K5" s="2" t="s">
        <v>16</v>
      </c>
      <c r="L5" s="2" t="s">
        <v>17</v>
      </c>
      <c r="M5" s="18">
        <v>97</v>
      </c>
      <c r="N5" s="25"/>
    </row>
    <row r="6" spans="1:14" x14ac:dyDescent="0.45">
      <c r="A6" s="17">
        <v>125</v>
      </c>
      <c r="B6" s="5" t="s">
        <v>48</v>
      </c>
      <c r="C6" s="2" t="s">
        <v>14</v>
      </c>
      <c r="D6" s="2" t="s">
        <v>25</v>
      </c>
      <c r="E6" s="2">
        <v>95</v>
      </c>
      <c r="F6" s="2">
        <v>90</v>
      </c>
      <c r="G6" s="2">
        <v>92</v>
      </c>
      <c r="H6" s="2">
        <v>96</v>
      </c>
      <c r="I6" s="2">
        <v>373</v>
      </c>
      <c r="J6" s="2">
        <v>93.25</v>
      </c>
      <c r="K6" s="2" t="s">
        <v>16</v>
      </c>
      <c r="L6" s="2" t="s">
        <v>17</v>
      </c>
      <c r="M6" s="18">
        <v>97</v>
      </c>
      <c r="N6" s="25"/>
    </row>
    <row r="7" spans="1:14" x14ac:dyDescent="0.45">
      <c r="A7" s="17">
        <v>117</v>
      </c>
      <c r="B7" s="5" t="s">
        <v>40</v>
      </c>
      <c r="C7" s="2" t="s">
        <v>14</v>
      </c>
      <c r="D7" s="2" t="s">
        <v>15</v>
      </c>
      <c r="E7" s="2">
        <v>92</v>
      </c>
      <c r="F7" s="2">
        <v>95</v>
      </c>
      <c r="G7" s="2">
        <v>90</v>
      </c>
      <c r="H7" s="2">
        <v>93</v>
      </c>
      <c r="I7" s="2">
        <v>370</v>
      </c>
      <c r="J7" s="2">
        <v>92.5</v>
      </c>
      <c r="K7" s="2" t="s">
        <v>16</v>
      </c>
      <c r="L7" s="2" t="s">
        <v>17</v>
      </c>
      <c r="M7" s="18">
        <v>96</v>
      </c>
      <c r="N7" s="25"/>
    </row>
    <row r="8" spans="1:14" x14ac:dyDescent="0.45">
      <c r="A8" s="17">
        <v>104</v>
      </c>
      <c r="B8" s="5" t="s">
        <v>23</v>
      </c>
      <c r="C8" s="2" t="s">
        <v>19</v>
      </c>
      <c r="D8" s="2" t="s">
        <v>15</v>
      </c>
      <c r="E8" s="2">
        <v>92</v>
      </c>
      <c r="F8" s="2">
        <v>95</v>
      </c>
      <c r="G8" s="2">
        <v>88</v>
      </c>
      <c r="H8" s="2">
        <v>90</v>
      </c>
      <c r="I8" s="2">
        <v>365</v>
      </c>
      <c r="J8" s="2">
        <v>91.25</v>
      </c>
      <c r="K8" s="2" t="s">
        <v>16</v>
      </c>
      <c r="L8" s="2" t="s">
        <v>17</v>
      </c>
      <c r="M8" s="18">
        <v>95</v>
      </c>
      <c r="N8" s="25"/>
    </row>
    <row r="9" spans="1:14" x14ac:dyDescent="0.45">
      <c r="A9" s="17">
        <v>120</v>
      </c>
      <c r="B9" s="5" t="s">
        <v>43</v>
      </c>
      <c r="C9" s="2" t="s">
        <v>19</v>
      </c>
      <c r="D9" s="2" t="s">
        <v>25</v>
      </c>
      <c r="E9" s="2">
        <v>90</v>
      </c>
      <c r="F9" s="2">
        <v>92</v>
      </c>
      <c r="G9" s="2">
        <v>88</v>
      </c>
      <c r="H9" s="2">
        <v>91</v>
      </c>
      <c r="I9" s="2">
        <v>361</v>
      </c>
      <c r="J9" s="2">
        <v>90.25</v>
      </c>
      <c r="K9" s="2" t="s">
        <v>16</v>
      </c>
      <c r="L9" s="2" t="s">
        <v>17</v>
      </c>
      <c r="M9" s="18">
        <v>95</v>
      </c>
      <c r="N9" s="25"/>
    </row>
    <row r="10" spans="1:14" x14ac:dyDescent="0.45">
      <c r="A10" s="17">
        <v>128</v>
      </c>
      <c r="B10" s="5" t="s">
        <v>51</v>
      </c>
      <c r="C10" s="2" t="s">
        <v>19</v>
      </c>
      <c r="D10" s="2" t="s">
        <v>30</v>
      </c>
      <c r="E10" s="2">
        <v>90</v>
      </c>
      <c r="F10" s="2">
        <v>92</v>
      </c>
      <c r="G10" s="2">
        <v>88</v>
      </c>
      <c r="H10" s="2">
        <v>91</v>
      </c>
      <c r="I10" s="2">
        <v>361</v>
      </c>
      <c r="J10" s="2">
        <v>90.25</v>
      </c>
      <c r="K10" s="2" t="s">
        <v>16</v>
      </c>
      <c r="L10" s="2" t="s">
        <v>17</v>
      </c>
      <c r="M10" s="18">
        <v>95</v>
      </c>
      <c r="N10" s="25"/>
    </row>
    <row r="11" spans="1:14" x14ac:dyDescent="0.45">
      <c r="A11" s="17">
        <v>106</v>
      </c>
      <c r="B11" s="5" t="s">
        <v>27</v>
      </c>
      <c r="C11" s="2" t="s">
        <v>19</v>
      </c>
      <c r="D11" s="2" t="s">
        <v>25</v>
      </c>
      <c r="E11" s="2">
        <v>88</v>
      </c>
      <c r="F11" s="2">
        <v>90</v>
      </c>
      <c r="G11" s="2">
        <v>85</v>
      </c>
      <c r="H11" s="2">
        <v>87</v>
      </c>
      <c r="I11" s="2">
        <v>350</v>
      </c>
      <c r="J11" s="2">
        <v>87.5</v>
      </c>
      <c r="K11" s="2" t="s">
        <v>16</v>
      </c>
      <c r="L11" s="2" t="s">
        <v>17</v>
      </c>
      <c r="M11" s="18">
        <v>93</v>
      </c>
      <c r="N11" s="25"/>
    </row>
    <row r="12" spans="1:14" x14ac:dyDescent="0.45">
      <c r="A12" s="17">
        <v>115</v>
      </c>
      <c r="B12" s="5" t="s">
        <v>38</v>
      </c>
      <c r="C12" s="2" t="s">
        <v>14</v>
      </c>
      <c r="D12" s="2" t="s">
        <v>30</v>
      </c>
      <c r="E12" s="2">
        <v>88</v>
      </c>
      <c r="F12" s="2">
        <v>90</v>
      </c>
      <c r="G12" s="2">
        <v>85</v>
      </c>
      <c r="H12" s="2">
        <v>87</v>
      </c>
      <c r="I12" s="2">
        <v>350</v>
      </c>
      <c r="J12" s="2">
        <v>87.5</v>
      </c>
      <c r="K12" s="2" t="s">
        <v>16</v>
      </c>
      <c r="L12" s="2" t="s">
        <v>17</v>
      </c>
      <c r="M12" s="18">
        <v>92</v>
      </c>
      <c r="N12" s="25"/>
    </row>
    <row r="13" spans="1:14" x14ac:dyDescent="0.45">
      <c r="A13" s="17">
        <v>101</v>
      </c>
      <c r="B13" s="5" t="s">
        <v>13</v>
      </c>
      <c r="C13" s="2" t="s">
        <v>14</v>
      </c>
      <c r="D13" s="2" t="s">
        <v>15</v>
      </c>
      <c r="E13" s="2">
        <v>85</v>
      </c>
      <c r="F13" s="2">
        <v>90</v>
      </c>
      <c r="G13" s="2">
        <v>78</v>
      </c>
      <c r="H13" s="2">
        <v>88</v>
      </c>
      <c r="I13" s="2">
        <v>341</v>
      </c>
      <c r="J13" s="2">
        <v>85.25</v>
      </c>
      <c r="K13" s="2" t="s">
        <v>16</v>
      </c>
      <c r="L13" s="2" t="s">
        <v>17</v>
      </c>
      <c r="M13" s="18">
        <v>92</v>
      </c>
      <c r="N13" s="25"/>
    </row>
    <row r="14" spans="1:14" x14ac:dyDescent="0.45">
      <c r="A14" s="17">
        <v>123</v>
      </c>
      <c r="B14" s="5" t="s">
        <v>46</v>
      </c>
      <c r="C14" s="2" t="s">
        <v>14</v>
      </c>
      <c r="D14" s="2" t="s">
        <v>15</v>
      </c>
      <c r="E14" s="2">
        <v>82</v>
      </c>
      <c r="F14" s="2">
        <v>85</v>
      </c>
      <c r="G14" s="2">
        <v>80</v>
      </c>
      <c r="H14" s="2">
        <v>84</v>
      </c>
      <c r="I14" s="2">
        <v>331</v>
      </c>
      <c r="J14" s="2">
        <v>82.75</v>
      </c>
      <c r="K14" s="2" t="s">
        <v>20</v>
      </c>
      <c r="L14" s="2" t="s">
        <v>17</v>
      </c>
      <c r="M14" s="19">
        <v>90</v>
      </c>
      <c r="N14" s="25"/>
    </row>
    <row r="15" spans="1:14" x14ac:dyDescent="0.45">
      <c r="A15" s="17">
        <v>113</v>
      </c>
      <c r="B15" s="5" t="s">
        <v>35</v>
      </c>
      <c r="C15" s="2" t="s">
        <v>14</v>
      </c>
      <c r="D15" s="2" t="s">
        <v>25</v>
      </c>
      <c r="E15" s="2">
        <v>80</v>
      </c>
      <c r="F15" s="2">
        <v>78</v>
      </c>
      <c r="G15" s="2">
        <v>85</v>
      </c>
      <c r="H15" s="2">
        <v>82</v>
      </c>
      <c r="I15" s="2">
        <v>325</v>
      </c>
      <c r="J15" s="2">
        <v>81.25</v>
      </c>
      <c r="K15" s="2" t="s">
        <v>20</v>
      </c>
      <c r="L15" s="2" t="s">
        <v>17</v>
      </c>
      <c r="M15" s="18">
        <v>88</v>
      </c>
      <c r="N15" s="25"/>
    </row>
    <row r="16" spans="1:14" x14ac:dyDescent="0.45">
      <c r="A16" s="17">
        <v>118</v>
      </c>
      <c r="B16" s="5" t="s">
        <v>41</v>
      </c>
      <c r="C16" s="2" t="s">
        <v>19</v>
      </c>
      <c r="D16" s="2" t="s">
        <v>15</v>
      </c>
      <c r="E16" s="2">
        <v>85</v>
      </c>
      <c r="F16" s="2">
        <v>80</v>
      </c>
      <c r="G16" s="2">
        <v>78</v>
      </c>
      <c r="H16" s="2">
        <v>82</v>
      </c>
      <c r="I16" s="2">
        <v>325</v>
      </c>
      <c r="J16" s="2">
        <v>81.25</v>
      </c>
      <c r="K16" s="2" t="s">
        <v>20</v>
      </c>
      <c r="L16" s="2" t="s">
        <v>17</v>
      </c>
      <c r="M16" s="18">
        <v>90</v>
      </c>
      <c r="N16" s="25"/>
    </row>
    <row r="17" spans="1:14" x14ac:dyDescent="0.45">
      <c r="A17" s="17">
        <v>127</v>
      </c>
      <c r="B17" s="5" t="s">
        <v>50</v>
      </c>
      <c r="C17" s="2" t="s">
        <v>14</v>
      </c>
      <c r="D17" s="2" t="s">
        <v>30</v>
      </c>
      <c r="E17" s="2">
        <v>80</v>
      </c>
      <c r="F17" s="2">
        <v>78</v>
      </c>
      <c r="G17" s="2">
        <v>85</v>
      </c>
      <c r="H17" s="2">
        <v>82</v>
      </c>
      <c r="I17" s="2">
        <v>325</v>
      </c>
      <c r="J17" s="2">
        <v>81.25</v>
      </c>
      <c r="K17" s="2" t="s">
        <v>20</v>
      </c>
      <c r="L17" s="2" t="s">
        <v>17</v>
      </c>
      <c r="M17" s="18">
        <v>88</v>
      </c>
      <c r="N17" s="25"/>
    </row>
    <row r="18" spans="1:14" x14ac:dyDescent="0.45">
      <c r="A18" s="17">
        <v>102</v>
      </c>
      <c r="B18" s="5" t="s">
        <v>18</v>
      </c>
      <c r="C18" s="2" t="s">
        <v>19</v>
      </c>
      <c r="D18" s="2" t="s">
        <v>15</v>
      </c>
      <c r="E18" s="2">
        <v>75</v>
      </c>
      <c r="F18" s="2">
        <v>82</v>
      </c>
      <c r="G18" s="2">
        <v>79</v>
      </c>
      <c r="H18" s="2">
        <v>85</v>
      </c>
      <c r="I18" s="2">
        <v>321</v>
      </c>
      <c r="J18" s="2">
        <v>80.25</v>
      </c>
      <c r="K18" s="2" t="s">
        <v>20</v>
      </c>
      <c r="L18" s="2" t="s">
        <v>17</v>
      </c>
      <c r="M18" s="18">
        <v>88</v>
      </c>
      <c r="N18" s="25"/>
    </row>
    <row r="19" spans="1:14" x14ac:dyDescent="0.45">
      <c r="A19" s="17">
        <v>108</v>
      </c>
      <c r="B19" s="5" t="s">
        <v>29</v>
      </c>
      <c r="C19" s="2" t="s">
        <v>19</v>
      </c>
      <c r="D19" s="2" t="s">
        <v>30</v>
      </c>
      <c r="E19" s="2">
        <v>78</v>
      </c>
      <c r="F19" s="2">
        <v>80</v>
      </c>
      <c r="G19" s="2">
        <v>75</v>
      </c>
      <c r="H19" s="2">
        <v>82</v>
      </c>
      <c r="I19" s="2">
        <v>315</v>
      </c>
      <c r="J19" s="2">
        <v>78.75</v>
      </c>
      <c r="K19" s="2" t="s">
        <v>20</v>
      </c>
      <c r="L19" s="2" t="s">
        <v>17</v>
      </c>
      <c r="M19" s="18">
        <v>90</v>
      </c>
      <c r="N19" s="25"/>
    </row>
    <row r="20" spans="1:14" x14ac:dyDescent="0.45">
      <c r="A20" s="17">
        <v>122</v>
      </c>
      <c r="B20" s="5" t="s">
        <v>45</v>
      </c>
      <c r="C20" s="2" t="s">
        <v>19</v>
      </c>
      <c r="D20" s="2" t="s">
        <v>30</v>
      </c>
      <c r="E20" s="2">
        <v>75</v>
      </c>
      <c r="F20" s="2">
        <v>78</v>
      </c>
      <c r="G20" s="2">
        <v>70</v>
      </c>
      <c r="H20" s="2">
        <v>72</v>
      </c>
      <c r="I20" s="2">
        <v>295</v>
      </c>
      <c r="J20" s="2">
        <v>73.75</v>
      </c>
      <c r="K20" s="2" t="s">
        <v>20</v>
      </c>
      <c r="L20" s="2" t="s">
        <v>17</v>
      </c>
      <c r="M20" s="19">
        <v>88</v>
      </c>
      <c r="N20" s="25"/>
    </row>
    <row r="21" spans="1:14" x14ac:dyDescent="0.45">
      <c r="A21" s="17">
        <v>112</v>
      </c>
      <c r="B21" s="5" t="s">
        <v>34</v>
      </c>
      <c r="C21" s="2" t="s">
        <v>19</v>
      </c>
      <c r="D21" s="2" t="s">
        <v>15</v>
      </c>
      <c r="E21" s="2">
        <v>72</v>
      </c>
      <c r="F21" s="2">
        <v>75</v>
      </c>
      <c r="G21" s="2">
        <v>70</v>
      </c>
      <c r="H21" s="2">
        <v>74</v>
      </c>
      <c r="I21" s="2">
        <v>291</v>
      </c>
      <c r="J21" s="2">
        <v>72.75</v>
      </c>
      <c r="K21" s="2" t="s">
        <v>20</v>
      </c>
      <c r="L21" s="2" t="s">
        <v>17</v>
      </c>
      <c r="M21" s="18">
        <v>85</v>
      </c>
      <c r="N21" s="25"/>
    </row>
    <row r="22" spans="1:14" x14ac:dyDescent="0.45">
      <c r="A22" s="17">
        <v>129</v>
      </c>
      <c r="B22" s="5" t="s">
        <v>52</v>
      </c>
      <c r="C22" s="2" t="s">
        <v>14</v>
      </c>
      <c r="D22" s="2" t="s">
        <v>15</v>
      </c>
      <c r="E22" s="2">
        <v>72</v>
      </c>
      <c r="F22" s="2">
        <v>75</v>
      </c>
      <c r="G22" s="2">
        <v>70</v>
      </c>
      <c r="H22" s="2">
        <v>74</v>
      </c>
      <c r="I22" s="2">
        <v>291</v>
      </c>
      <c r="J22" s="2">
        <v>72.75</v>
      </c>
      <c r="K22" s="2" t="s">
        <v>20</v>
      </c>
      <c r="L22" s="2" t="s">
        <v>17</v>
      </c>
      <c r="M22" s="18">
        <v>85</v>
      </c>
      <c r="N22" s="25"/>
    </row>
    <row r="23" spans="1:14" x14ac:dyDescent="0.45">
      <c r="A23" s="17">
        <v>103</v>
      </c>
      <c r="B23" s="5" t="s">
        <v>21</v>
      </c>
      <c r="C23" s="2" t="s">
        <v>14</v>
      </c>
      <c r="D23" s="2" t="s">
        <v>15</v>
      </c>
      <c r="E23" s="2">
        <v>65</v>
      </c>
      <c r="F23" s="2">
        <v>72</v>
      </c>
      <c r="G23" s="2">
        <v>70</v>
      </c>
      <c r="H23" s="2">
        <v>68</v>
      </c>
      <c r="I23" s="2">
        <v>275</v>
      </c>
      <c r="J23" s="2">
        <v>68.75</v>
      </c>
      <c r="K23" s="2" t="s">
        <v>22</v>
      </c>
      <c r="L23" s="2" t="s">
        <v>17</v>
      </c>
      <c r="M23" s="18">
        <v>85</v>
      </c>
      <c r="N23" s="25"/>
    </row>
    <row r="24" spans="1:14" x14ac:dyDescent="0.45">
      <c r="A24" s="17">
        <v>116</v>
      </c>
      <c r="B24" s="5" t="s">
        <v>39</v>
      </c>
      <c r="C24" s="2" t="s">
        <v>19</v>
      </c>
      <c r="D24" s="2" t="s">
        <v>30</v>
      </c>
      <c r="E24" s="2">
        <v>68</v>
      </c>
      <c r="F24" s="2">
        <v>70</v>
      </c>
      <c r="G24" s="2">
        <v>65</v>
      </c>
      <c r="H24" s="2">
        <v>72</v>
      </c>
      <c r="I24" s="2">
        <v>275</v>
      </c>
      <c r="J24" s="2">
        <v>68.75</v>
      </c>
      <c r="K24" s="2" t="s">
        <v>22</v>
      </c>
      <c r="L24" s="2" t="s">
        <v>17</v>
      </c>
      <c r="M24" s="18">
        <v>84</v>
      </c>
      <c r="N24" s="25"/>
    </row>
    <row r="25" spans="1:14" x14ac:dyDescent="0.45">
      <c r="A25" s="17">
        <v>130</v>
      </c>
      <c r="B25" s="5" t="s">
        <v>53</v>
      </c>
      <c r="C25" s="2" t="s">
        <v>19</v>
      </c>
      <c r="D25" s="2" t="s">
        <v>15</v>
      </c>
      <c r="E25" s="2">
        <v>68</v>
      </c>
      <c r="F25" s="2">
        <v>70</v>
      </c>
      <c r="G25" s="2">
        <v>65</v>
      </c>
      <c r="H25" s="2">
        <v>72</v>
      </c>
      <c r="I25" s="2">
        <v>275</v>
      </c>
      <c r="J25" s="2">
        <v>68.75</v>
      </c>
      <c r="K25" s="2" t="s">
        <v>22</v>
      </c>
      <c r="L25" s="2" t="s">
        <v>17</v>
      </c>
      <c r="M25" s="18">
        <v>84</v>
      </c>
      <c r="N25" s="26"/>
    </row>
    <row r="26" spans="1:14" x14ac:dyDescent="0.45">
      <c r="A26" s="17">
        <v>124</v>
      </c>
      <c r="B26" s="5" t="s">
        <v>47</v>
      </c>
      <c r="C26" s="2" t="s">
        <v>19</v>
      </c>
      <c r="D26" s="2" t="s">
        <v>15</v>
      </c>
      <c r="E26" s="2">
        <v>65</v>
      </c>
      <c r="F26" s="2">
        <v>68</v>
      </c>
      <c r="G26" s="2">
        <v>62</v>
      </c>
      <c r="H26" s="2">
        <v>70</v>
      </c>
      <c r="I26" s="2">
        <v>265</v>
      </c>
      <c r="J26" s="2">
        <v>66.25</v>
      </c>
      <c r="K26" s="2" t="s">
        <v>22</v>
      </c>
      <c r="L26" s="2" t="s">
        <v>17</v>
      </c>
      <c r="M26" s="19">
        <v>83</v>
      </c>
      <c r="N26" s="26"/>
    </row>
    <row r="27" spans="1:14" x14ac:dyDescent="0.45">
      <c r="A27" s="17">
        <v>110</v>
      </c>
      <c r="B27" s="5" t="s">
        <v>32</v>
      </c>
      <c r="C27" s="2" t="s">
        <v>19</v>
      </c>
      <c r="D27" s="2" t="s">
        <v>30</v>
      </c>
      <c r="E27" s="2">
        <v>62</v>
      </c>
      <c r="F27" s="2">
        <v>68</v>
      </c>
      <c r="G27" s="2">
        <v>60</v>
      </c>
      <c r="H27" s="2">
        <v>65</v>
      </c>
      <c r="I27" s="2">
        <v>255</v>
      </c>
      <c r="J27" s="2">
        <v>63.75</v>
      </c>
      <c r="K27" s="2" t="s">
        <v>22</v>
      </c>
      <c r="L27" s="2" t="s">
        <v>17</v>
      </c>
      <c r="M27" s="18">
        <v>82</v>
      </c>
      <c r="N27" s="26"/>
    </row>
    <row r="28" spans="1:14" x14ac:dyDescent="0.45">
      <c r="A28" s="17">
        <v>105</v>
      </c>
      <c r="B28" s="5" t="s">
        <v>24</v>
      </c>
      <c r="C28" s="2" t="s">
        <v>14</v>
      </c>
      <c r="D28" s="2" t="s">
        <v>25</v>
      </c>
      <c r="E28" s="2">
        <v>55</v>
      </c>
      <c r="F28" s="2">
        <v>60</v>
      </c>
      <c r="G28" s="2">
        <v>58</v>
      </c>
      <c r="H28" s="2">
        <v>62</v>
      </c>
      <c r="I28" s="2">
        <v>235</v>
      </c>
      <c r="J28" s="2">
        <v>58.75</v>
      </c>
      <c r="K28" s="2" t="s">
        <v>26</v>
      </c>
      <c r="L28" s="2" t="s">
        <v>17</v>
      </c>
      <c r="M28" s="18">
        <v>80</v>
      </c>
      <c r="N28" s="26"/>
    </row>
    <row r="29" spans="1:14" x14ac:dyDescent="0.45">
      <c r="A29" s="17">
        <v>119</v>
      </c>
      <c r="B29" s="5" t="s">
        <v>42</v>
      </c>
      <c r="C29" s="2" t="s">
        <v>14</v>
      </c>
      <c r="D29" s="2" t="s">
        <v>25</v>
      </c>
      <c r="E29" s="2">
        <v>60</v>
      </c>
      <c r="F29" s="2">
        <v>58</v>
      </c>
      <c r="G29" s="2">
        <v>55</v>
      </c>
      <c r="H29" s="2">
        <v>62</v>
      </c>
      <c r="I29" s="2">
        <v>235</v>
      </c>
      <c r="J29" s="2">
        <v>58.75</v>
      </c>
      <c r="K29" s="2" t="s">
        <v>26</v>
      </c>
      <c r="L29" s="2" t="s">
        <v>17</v>
      </c>
      <c r="M29" s="18">
        <v>77</v>
      </c>
      <c r="N29" s="25"/>
    </row>
    <row r="30" spans="1:14" x14ac:dyDescent="0.45">
      <c r="A30" s="17">
        <v>126</v>
      </c>
      <c r="B30" s="5" t="s">
        <v>49</v>
      </c>
      <c r="C30" s="2" t="s">
        <v>19</v>
      </c>
      <c r="D30" s="2" t="s">
        <v>25</v>
      </c>
      <c r="E30" s="2">
        <v>55</v>
      </c>
      <c r="F30" s="2">
        <v>60</v>
      </c>
      <c r="G30" s="2">
        <v>58</v>
      </c>
      <c r="H30" s="2">
        <v>62</v>
      </c>
      <c r="I30" s="2">
        <v>235</v>
      </c>
      <c r="J30" s="2">
        <v>58.75</v>
      </c>
      <c r="K30" s="2" t="s">
        <v>26</v>
      </c>
      <c r="L30" s="2" t="s">
        <v>17</v>
      </c>
      <c r="M30" s="18">
        <v>80</v>
      </c>
      <c r="N30" s="25"/>
    </row>
    <row r="31" spans="1:14" x14ac:dyDescent="0.45">
      <c r="A31" s="17">
        <v>111</v>
      </c>
      <c r="B31" s="5" t="s">
        <v>33</v>
      </c>
      <c r="C31" s="2" t="s">
        <v>14</v>
      </c>
      <c r="D31" s="2" t="s">
        <v>15</v>
      </c>
      <c r="E31" s="2">
        <v>58</v>
      </c>
      <c r="F31" s="2">
        <v>55</v>
      </c>
      <c r="G31" s="2">
        <v>60</v>
      </c>
      <c r="H31" s="2">
        <v>50</v>
      </c>
      <c r="I31" s="2">
        <v>223</v>
      </c>
      <c r="J31" s="2">
        <v>55.75</v>
      </c>
      <c r="K31" s="2" t="s">
        <v>26</v>
      </c>
      <c r="L31" s="2" t="s">
        <v>17</v>
      </c>
      <c r="M31" s="18">
        <v>78</v>
      </c>
      <c r="N31" s="25"/>
    </row>
    <row r="32" spans="1:14" x14ac:dyDescent="0.45">
      <c r="A32" s="17">
        <v>121</v>
      </c>
      <c r="B32" s="5" t="s">
        <v>44</v>
      </c>
      <c r="C32" s="2" t="s">
        <v>14</v>
      </c>
      <c r="D32" s="2" t="s">
        <v>30</v>
      </c>
      <c r="E32" s="2">
        <v>48</v>
      </c>
      <c r="F32" s="2">
        <v>52</v>
      </c>
      <c r="G32" s="2">
        <v>50</v>
      </c>
      <c r="H32" s="2">
        <v>55</v>
      </c>
      <c r="I32" s="2">
        <v>205</v>
      </c>
      <c r="J32" s="2">
        <v>51.25</v>
      </c>
      <c r="K32" s="2" t="s">
        <v>26</v>
      </c>
      <c r="L32" s="2" t="s">
        <v>17</v>
      </c>
      <c r="M32" s="19">
        <v>80</v>
      </c>
      <c r="N32" s="25"/>
    </row>
    <row r="33" spans="1:14" x14ac:dyDescent="0.45">
      <c r="A33" s="17">
        <v>114</v>
      </c>
      <c r="B33" s="5" t="s">
        <v>36</v>
      </c>
      <c r="C33" s="2" t="s">
        <v>19</v>
      </c>
      <c r="D33" s="2" t="s">
        <v>25</v>
      </c>
      <c r="E33" s="2">
        <v>50</v>
      </c>
      <c r="F33" s="2">
        <v>45</v>
      </c>
      <c r="G33" s="2">
        <v>48</v>
      </c>
      <c r="H33" s="2">
        <v>52</v>
      </c>
      <c r="I33" s="2">
        <v>195</v>
      </c>
      <c r="J33" s="2">
        <v>48.75</v>
      </c>
      <c r="K33" s="2" t="s">
        <v>19</v>
      </c>
      <c r="L33" s="2" t="s">
        <v>37</v>
      </c>
      <c r="M33" s="18">
        <v>75</v>
      </c>
      <c r="N33" s="25"/>
    </row>
    <row r="34" spans="1:14" ht="14.65" thickBot="1" x14ac:dyDescent="0.5">
      <c r="A34" s="20">
        <v>107</v>
      </c>
      <c r="B34" s="21" t="s">
        <v>28</v>
      </c>
      <c r="C34" s="22" t="s">
        <v>14</v>
      </c>
      <c r="D34" s="22" t="s">
        <v>25</v>
      </c>
      <c r="E34" s="22">
        <v>45</v>
      </c>
      <c r="F34" s="22">
        <v>50</v>
      </c>
      <c r="G34" s="22">
        <v>42</v>
      </c>
      <c r="H34" s="22">
        <v>48</v>
      </c>
      <c r="I34" s="22">
        <v>185</v>
      </c>
      <c r="J34" s="22">
        <v>46.25</v>
      </c>
      <c r="K34" s="22" t="s">
        <v>26</v>
      </c>
      <c r="L34" s="22" t="s">
        <v>17</v>
      </c>
      <c r="M34" s="23">
        <v>70</v>
      </c>
      <c r="N34" s="1"/>
    </row>
    <row r="35" spans="1:14" x14ac:dyDescent="0.45">
      <c r="N35" s="27"/>
    </row>
    <row r="36" spans="1:14" x14ac:dyDescent="0.45">
      <c r="N36" s="27"/>
    </row>
    <row r="37" spans="1:14" x14ac:dyDescent="0.45">
      <c r="B37" s="29" t="s">
        <v>56</v>
      </c>
      <c r="C37" s="29"/>
      <c r="D37" s="28"/>
    </row>
    <row r="38" spans="1:14" x14ac:dyDescent="0.45">
      <c r="B38" s="30" t="s">
        <v>1</v>
      </c>
      <c r="C38" s="31" t="s">
        <v>8</v>
      </c>
    </row>
    <row r="39" spans="1:14" x14ac:dyDescent="0.45">
      <c r="B39" s="30" t="str">
        <f>INDEX(B2:B31,MATCH(MAX(I2:I31),I2:I31,0))</f>
        <v>Aditya Mehta</v>
      </c>
      <c r="C39" s="30">
        <f>MAX(I5:I34)</f>
        <v>373</v>
      </c>
    </row>
    <row r="40" spans="1:14" x14ac:dyDescent="0.45">
      <c r="B40" s="30" t="s">
        <v>48</v>
      </c>
      <c r="C40" s="30">
        <v>373</v>
      </c>
    </row>
    <row r="44" spans="1:14" x14ac:dyDescent="0.45">
      <c r="B44" s="32" t="s">
        <v>57</v>
      </c>
      <c r="C44" s="32"/>
    </row>
    <row r="45" spans="1:14" x14ac:dyDescent="0.45">
      <c r="B45" s="30" t="str">
        <f>INDEX(B2:B31,MATCH(MIN(J2:J31),J2:J31,0))</f>
        <v>Vihaan Malhotra</v>
      </c>
      <c r="C45" s="30">
        <f>MIN(J2:J31)</f>
        <v>55.75</v>
      </c>
    </row>
    <row r="48" spans="1:14" x14ac:dyDescent="0.45">
      <c r="B48" s="32" t="s">
        <v>58</v>
      </c>
      <c r="C48" s="32"/>
    </row>
    <row r="49" spans="2:3" x14ac:dyDescent="0.45">
      <c r="B49" s="30" t="s">
        <v>4</v>
      </c>
      <c r="C49" s="33">
        <f>AVERAGE(E2:E34)</f>
        <v>73.766666666666666</v>
      </c>
    </row>
    <row r="50" spans="2:3" x14ac:dyDescent="0.45">
      <c r="B50" s="30" t="s">
        <v>5</v>
      </c>
      <c r="C50" s="30">
        <f>AVERAGE(F2:F34)</f>
        <v>75.5</v>
      </c>
    </row>
    <row r="51" spans="2:3" x14ac:dyDescent="0.45">
      <c r="B51" s="30" t="s">
        <v>6</v>
      </c>
      <c r="C51" s="30">
        <f>AVERAGE(G2:G34)</f>
        <v>72.3</v>
      </c>
    </row>
    <row r="52" spans="2:3" x14ac:dyDescent="0.45">
      <c r="B52" s="30" t="s">
        <v>7</v>
      </c>
      <c r="C52" s="30">
        <f>AVERAGE(H2:H34)</f>
        <v>75.8</v>
      </c>
    </row>
    <row r="55" spans="2:3" x14ac:dyDescent="0.45">
      <c r="B55" s="32" t="s">
        <v>59</v>
      </c>
      <c r="C55" s="32"/>
    </row>
    <row r="56" spans="2:3" x14ac:dyDescent="0.45">
      <c r="B56" s="30" t="s">
        <v>17</v>
      </c>
      <c r="C56" s="30">
        <f>COUNTIF(L2:L34,"Pass")</f>
        <v>29</v>
      </c>
    </row>
    <row r="57" spans="2:3" x14ac:dyDescent="0.45">
      <c r="B57" s="30" t="s">
        <v>37</v>
      </c>
      <c r="C57" s="30">
        <f>COUNTIF(L2:L34,"Fail")</f>
        <v>1</v>
      </c>
    </row>
    <row r="60" spans="2:3" x14ac:dyDescent="0.45">
      <c r="B60" s="32" t="s">
        <v>62</v>
      </c>
      <c r="C60" s="32"/>
    </row>
    <row r="61" spans="2:3" x14ac:dyDescent="0.45">
      <c r="B61" s="34" t="s">
        <v>1</v>
      </c>
      <c r="C61" s="34" t="s">
        <v>61</v>
      </c>
    </row>
    <row r="62" spans="2:3" x14ac:dyDescent="0.45">
      <c r="B62" s="3" t="s">
        <v>23</v>
      </c>
      <c r="C62" s="3">
        <v>91.25</v>
      </c>
    </row>
    <row r="63" spans="2:3" x14ac:dyDescent="0.45">
      <c r="B63" s="3" t="s">
        <v>31</v>
      </c>
      <c r="C63" s="3">
        <v>93.25</v>
      </c>
    </row>
    <row r="64" spans="2:3" x14ac:dyDescent="0.45">
      <c r="B64" s="3" t="s">
        <v>40</v>
      </c>
      <c r="C64" s="3">
        <v>92.5</v>
      </c>
    </row>
    <row r="65" spans="2:3" x14ac:dyDescent="0.45">
      <c r="B65" s="3" t="s">
        <v>48</v>
      </c>
      <c r="C65" s="3">
        <v>93.25</v>
      </c>
    </row>
    <row r="66" spans="2:3" x14ac:dyDescent="0.45">
      <c r="B66" s="3" t="s">
        <v>43</v>
      </c>
      <c r="C66" s="3">
        <v>90.25</v>
      </c>
    </row>
    <row r="67" spans="2:3" x14ac:dyDescent="0.45">
      <c r="B67" s="3" t="s">
        <v>51</v>
      </c>
      <c r="C67" s="3">
        <v>90.25</v>
      </c>
    </row>
    <row r="70" spans="2:3" x14ac:dyDescent="0.45">
      <c r="B70" s="32" t="s">
        <v>63</v>
      </c>
      <c r="C70" s="32"/>
    </row>
    <row r="71" spans="2:3" x14ac:dyDescent="0.45">
      <c r="B71" s="34" t="s">
        <v>1</v>
      </c>
      <c r="C71" s="34" t="s">
        <v>61</v>
      </c>
    </row>
    <row r="72" spans="2:3" x14ac:dyDescent="0.45">
      <c r="B72" s="3" t="s">
        <v>28</v>
      </c>
      <c r="C72" s="3">
        <v>46.25</v>
      </c>
    </row>
    <row r="73" spans="2:3" x14ac:dyDescent="0.45">
      <c r="B73" s="3" t="s">
        <v>36</v>
      </c>
      <c r="C73" s="3">
        <v>48.75</v>
      </c>
    </row>
    <row r="76" spans="2:3" x14ac:dyDescent="0.45">
      <c r="B76" s="32" t="s">
        <v>64</v>
      </c>
      <c r="C76" s="32"/>
    </row>
    <row r="77" spans="2:3" x14ac:dyDescent="0.45">
      <c r="B77" s="35" t="s">
        <v>1</v>
      </c>
      <c r="C77" s="36" t="s">
        <v>12</v>
      </c>
    </row>
    <row r="78" spans="2:3" x14ac:dyDescent="0.45">
      <c r="B78" s="3" t="s">
        <v>28</v>
      </c>
      <c r="C78" s="3">
        <v>70</v>
      </c>
    </row>
    <row r="81" spans="2:3" x14ac:dyDescent="0.45">
      <c r="B81" s="32" t="s">
        <v>65</v>
      </c>
      <c r="C81" s="32"/>
    </row>
    <row r="82" spans="2:3" x14ac:dyDescent="0.45">
      <c r="B82" s="37" t="s">
        <v>66</v>
      </c>
      <c r="C82" s="37" t="s">
        <v>67</v>
      </c>
    </row>
    <row r="83" spans="2:3" x14ac:dyDescent="0.45">
      <c r="B83" s="30" t="s">
        <v>16</v>
      </c>
      <c r="C83" s="30">
        <f>COUNTIF(K2:K34,"A")</f>
        <v>9</v>
      </c>
    </row>
    <row r="84" spans="2:3" x14ac:dyDescent="0.45">
      <c r="B84" s="30" t="s">
        <v>20</v>
      </c>
      <c r="C84" s="30">
        <f>COUNTIF(K2:K34,"B")</f>
        <v>9</v>
      </c>
    </row>
    <row r="85" spans="2:3" x14ac:dyDescent="0.45">
      <c r="B85" s="30" t="s">
        <v>22</v>
      </c>
      <c r="C85" s="30">
        <f>COUNTIF(K2:K34,"C")</f>
        <v>5</v>
      </c>
    </row>
    <row r="86" spans="2:3" x14ac:dyDescent="0.45">
      <c r="B86" s="30" t="s">
        <v>26</v>
      </c>
      <c r="C86" s="30">
        <f>COUNTIF(K2:K34,"D")</f>
        <v>6</v>
      </c>
    </row>
    <row r="87" spans="2:3" x14ac:dyDescent="0.45">
      <c r="B87" s="30" t="s">
        <v>19</v>
      </c>
      <c r="C87" s="30">
        <f>COUNTIF(K2:K34,"F")</f>
        <v>1</v>
      </c>
    </row>
    <row r="90" spans="2:3" x14ac:dyDescent="0.45">
      <c r="B90" s="32" t="s">
        <v>68</v>
      </c>
      <c r="C90" s="32"/>
    </row>
    <row r="91" spans="2:3" x14ac:dyDescent="0.45">
      <c r="B91" s="34" t="s">
        <v>60</v>
      </c>
      <c r="C91" s="34" t="s">
        <v>69</v>
      </c>
    </row>
    <row r="92" spans="2:3" x14ac:dyDescent="0.45">
      <c r="B92" s="3" t="s">
        <v>4</v>
      </c>
      <c r="C92" s="3">
        <f>MAX(E2:E34)</f>
        <v>95</v>
      </c>
    </row>
    <row r="93" spans="2:3" x14ac:dyDescent="0.45">
      <c r="B93" s="3" t="s">
        <v>5</v>
      </c>
      <c r="C93" s="3">
        <f>MAX(F2:F34)</f>
        <v>95</v>
      </c>
    </row>
    <row r="94" spans="2:3" x14ac:dyDescent="0.45">
      <c r="B94" s="3" t="s">
        <v>6</v>
      </c>
      <c r="C94" s="3">
        <f>MAX(G2:G34)</f>
        <v>92</v>
      </c>
    </row>
    <row r="95" spans="2:3" x14ac:dyDescent="0.45">
      <c r="B95" s="3" t="s">
        <v>7</v>
      </c>
      <c r="C95" s="3">
        <f>MAX(H2:H34)</f>
        <v>96</v>
      </c>
    </row>
    <row r="98" spans="2:4" x14ac:dyDescent="0.45">
      <c r="B98" s="32" t="s">
        <v>70</v>
      </c>
      <c r="C98" s="32"/>
    </row>
    <row r="99" spans="2:4" x14ac:dyDescent="0.45">
      <c r="B99" s="34" t="s">
        <v>60</v>
      </c>
      <c r="C99" s="34" t="s">
        <v>71</v>
      </c>
    </row>
    <row r="100" spans="2:4" x14ac:dyDescent="0.45">
      <c r="B100" s="3" t="s">
        <v>4</v>
      </c>
      <c r="C100" s="3">
        <f>MIN(E2:E34)</f>
        <v>45</v>
      </c>
    </row>
    <row r="101" spans="2:4" x14ac:dyDescent="0.45">
      <c r="B101" s="3" t="s">
        <v>5</v>
      </c>
      <c r="C101" s="3">
        <f>MIN(F2:F34)</f>
        <v>45</v>
      </c>
    </row>
    <row r="102" spans="2:4" x14ac:dyDescent="0.45">
      <c r="B102" s="3" t="s">
        <v>6</v>
      </c>
      <c r="C102" s="3">
        <f>MIN(G2:G34)</f>
        <v>42</v>
      </c>
      <c r="D102" s="30"/>
    </row>
    <row r="103" spans="2:4" x14ac:dyDescent="0.45">
      <c r="B103" s="3" t="s">
        <v>7</v>
      </c>
      <c r="C103" s="3">
        <f>MIN(H2:H34)</f>
        <v>48</v>
      </c>
    </row>
    <row r="106" spans="2:4" x14ac:dyDescent="0.45">
      <c r="B106" s="38" t="s">
        <v>72</v>
      </c>
    </row>
    <row r="107" spans="2:4" x14ac:dyDescent="0.45">
      <c r="B107" s="33">
        <f>AVERAGE(J2:J34)</f>
        <v>74.341666666666669</v>
      </c>
    </row>
    <row r="110" spans="2:4" x14ac:dyDescent="0.45">
      <c r="B110" s="32" t="s">
        <v>73</v>
      </c>
      <c r="C110" s="32"/>
    </row>
    <row r="111" spans="2:4" x14ac:dyDescent="0.45">
      <c r="B111" s="34" t="s">
        <v>74</v>
      </c>
      <c r="C111" s="34" t="s">
        <v>75</v>
      </c>
    </row>
    <row r="112" spans="2:4" x14ac:dyDescent="0.45">
      <c r="B112" s="3" t="s">
        <v>76</v>
      </c>
      <c r="C112" s="3">
        <f>COUNTA(A2:A34)</f>
        <v>32</v>
      </c>
    </row>
    <row r="113" spans="2:3" x14ac:dyDescent="0.45">
      <c r="B113" s="3" t="s">
        <v>77</v>
      </c>
      <c r="C113" s="39">
        <f>COUNTIF(L2:L34,"Pass")/COUNTA(A2:A34)*100</f>
        <v>90.625</v>
      </c>
    </row>
    <row r="114" spans="2:3" x14ac:dyDescent="0.45">
      <c r="B114" s="3" t="s">
        <v>78</v>
      </c>
      <c r="C114" s="39">
        <f>COUNTIF(L2:L34,"Fail")/COUNTA(A2:A34)*100</f>
        <v>3.125</v>
      </c>
    </row>
    <row r="115" spans="2:3" x14ac:dyDescent="0.45">
      <c r="B115" s="3" t="s">
        <v>79</v>
      </c>
      <c r="C115" s="3">
        <v>301.77</v>
      </c>
    </row>
    <row r="116" spans="2:3" x14ac:dyDescent="0.45">
      <c r="B116" s="3" t="s">
        <v>80</v>
      </c>
      <c r="C116" s="39">
        <f>AVERAGE(I2:I34)</f>
        <v>297.36666666666667</v>
      </c>
    </row>
  </sheetData>
  <autoFilter ref="L4:L34" xr:uid="{468AFE78-36F6-4774-8659-917FED3CC486}"/>
  <sortState xmlns:xlrd2="http://schemas.microsoft.com/office/spreadsheetml/2017/richdata2" ref="A5:M34">
    <sortCondition descending="1" ref="I5:I34"/>
  </sortState>
  <mergeCells count="13">
    <mergeCell ref="B110:C110"/>
    <mergeCell ref="B70:C70"/>
    <mergeCell ref="B76:C76"/>
    <mergeCell ref="B81:C81"/>
    <mergeCell ref="B90:C90"/>
    <mergeCell ref="B98:C98"/>
    <mergeCell ref="B37:C37"/>
    <mergeCell ref="B44:C44"/>
    <mergeCell ref="B48:C48"/>
    <mergeCell ref="B55:C55"/>
    <mergeCell ref="B60:C60"/>
    <mergeCell ref="A1:M2"/>
    <mergeCell ref="A3:M3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8827A06B-BD57-4916-B306-72238CF9F4C1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Sheet1!B5:B5</xm:f>
              <xm:sqref>I5</xm:sqref>
            </x14:sparkline>
            <x14:sparkline>
              <xm:f>Sheet1!B6:B6</xm:f>
              <xm:sqref>I6</xm:sqref>
            </x14:sparkline>
            <x14:sparkline>
              <xm:f>Sheet1!B7:B7</xm:f>
              <xm:sqref>I7</xm:sqref>
            </x14:sparkline>
            <x14:sparkline>
              <xm:f>Sheet1!B8:B8</xm:f>
              <xm:sqref>I8</xm:sqref>
            </x14:sparkline>
            <x14:sparkline>
              <xm:f>Sheet1!B9:B9</xm:f>
              <xm:sqref>I9</xm:sqref>
            </x14:sparkline>
            <x14:sparkline>
              <xm:f>Sheet1!B10:B10</xm:f>
              <xm:sqref>I10</xm:sqref>
            </x14:sparkline>
            <x14:sparkline>
              <xm:f>Sheet1!B11:B11</xm:f>
              <xm:sqref>I11</xm:sqref>
            </x14:sparkline>
            <x14:sparkline>
              <xm:f>Sheet1!B12:B12</xm:f>
              <xm:sqref>I12</xm:sqref>
            </x14:sparkline>
            <x14:sparkline>
              <xm:f>Sheet1!B13:B13</xm:f>
              <xm:sqref>I13</xm:sqref>
            </x14:sparkline>
            <x14:sparkline>
              <xm:f>Sheet1!B14:B14</xm:f>
              <xm:sqref>I14</xm:sqref>
            </x14:sparkline>
            <x14:sparkline>
              <xm:f>Sheet1!B15:B15</xm:f>
              <xm:sqref>I15</xm:sqref>
            </x14:sparkline>
            <x14:sparkline>
              <xm:f>Sheet1!B16:B16</xm:f>
              <xm:sqref>I16</xm:sqref>
            </x14:sparkline>
            <x14:sparkline>
              <xm:f>Sheet1!B17:B17</xm:f>
              <xm:sqref>I17</xm:sqref>
            </x14:sparkline>
            <x14:sparkline>
              <xm:f>Sheet1!B18:B18</xm:f>
              <xm:sqref>I18</xm:sqref>
            </x14:sparkline>
            <x14:sparkline>
              <xm:f>Sheet1!B19:B19</xm:f>
              <xm:sqref>I19</xm:sqref>
            </x14:sparkline>
            <x14:sparkline>
              <xm:f>Sheet1!B20:B20</xm:f>
              <xm:sqref>I20</xm:sqref>
            </x14:sparkline>
            <x14:sparkline>
              <xm:f>Sheet1!B21:B21</xm:f>
              <xm:sqref>I21</xm:sqref>
            </x14:sparkline>
            <x14:sparkline>
              <xm:f>Sheet1!B22:B22</xm:f>
              <xm:sqref>I22</xm:sqref>
            </x14:sparkline>
            <x14:sparkline>
              <xm:f>Sheet1!B23:B23</xm:f>
              <xm:sqref>I23</xm:sqref>
            </x14:sparkline>
            <x14:sparkline>
              <xm:f>Sheet1!B24:B24</xm:f>
              <xm:sqref>I24</xm:sqref>
            </x14:sparkline>
            <x14:sparkline>
              <xm:f>Sheet1!B25:B25</xm:f>
              <xm:sqref>I25</xm:sqref>
            </x14:sparkline>
            <x14:sparkline>
              <xm:f>Sheet1!B26:B26</xm:f>
              <xm:sqref>I26</xm:sqref>
            </x14:sparkline>
            <x14:sparkline>
              <xm:f>Sheet1!B27:B27</xm:f>
              <xm:sqref>I27</xm:sqref>
            </x14:sparkline>
            <x14:sparkline>
              <xm:f>Sheet1!B28:B28</xm:f>
              <xm:sqref>I28</xm:sqref>
            </x14:sparkline>
            <x14:sparkline>
              <xm:f>Sheet1!B29:B29</xm:f>
              <xm:sqref>I29</xm:sqref>
            </x14:sparkline>
            <x14:sparkline>
              <xm:f>Sheet1!B30:B30</xm:f>
              <xm:sqref>I30</xm:sqref>
            </x14:sparkline>
            <x14:sparkline>
              <xm:f>Sheet1!B31:B31</xm:f>
              <xm:sqref>I31</xm:sqref>
            </x14:sparkline>
            <x14:sparkline>
              <xm:f>Sheet1!B32:B32</xm:f>
              <xm:sqref>I32</xm:sqref>
            </x14:sparkline>
            <x14:sparkline>
              <xm:f>Sheet1!B33:B33</xm:f>
              <xm:sqref>I33</xm:sqref>
            </x14:sparkline>
            <x14:sparkline>
              <xm:f>Sheet1!B34:B34</xm:f>
              <xm:sqref>I34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Thakur</dc:creator>
  <cp:lastModifiedBy>Nandini Thakur</cp:lastModifiedBy>
  <cp:lastPrinted>2026-03-29T11:49:54Z</cp:lastPrinted>
  <dcterms:created xsi:type="dcterms:W3CDTF">2026-03-29T09:44:15Z</dcterms:created>
  <dcterms:modified xsi:type="dcterms:W3CDTF">2026-03-29T12:43:06Z</dcterms:modified>
</cp:coreProperties>
</file>